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 Raw Data" sheetId="1" state="visible" r:id="rId1"/>
    <sheet xmlns:r="http://schemas.openxmlformats.org/officeDocument/2006/relationships" name="Summary Metrics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color rgb="001F3864"/>
      <sz val="11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1FA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Incidents by Severity</a:t>
            </a:r>
          </a:p>
        </rich>
      </tx>
    </title>
    <plotArea>
      <pieChart>
        <varyColors val="1"/>
        <ser>
          <idx val="0"/>
          <order val="0"/>
          <tx>
            <strRef>
              <f>'Charts'!B1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Alert Volume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'Charts'!$D$2:$D$6</f>
            </numRef>
          </cat>
          <val>
            <numRef>
              <f>'Charts'!$E$2:$E$6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Alerts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MTTR Trend (mins)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'Charts'!$G$2:$G$6</f>
            </numRef>
          </cat>
          <val>
            <numRef>
              <f>'Charts'!$H$2:$H$6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27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7" customWidth="1" min="3" max="3"/>
    <col width="17" customWidth="1" min="4" max="4"/>
    <col width="12" customWidth="1" min="5" max="5"/>
    <col width="10" customWidth="1" min="6" max="6"/>
    <col width="15" customWidth="1" min="7" max="7"/>
    <col width="15" customWidth="1" min="8" max="8"/>
  </cols>
  <sheetData>
    <row r="1" ht="20" customHeight="1">
      <c r="A1" s="1" t="inlineStr">
        <is>
          <t>Date</t>
        </is>
      </c>
      <c r="B1" s="1" t="inlineStr">
        <is>
          <t>Alert Time</t>
        </is>
      </c>
      <c r="C1" s="1" t="inlineStr">
        <is>
          <t>Incident Created</t>
        </is>
      </c>
      <c r="D1" s="1" t="inlineStr">
        <is>
          <t>Incident Closed</t>
        </is>
      </c>
      <c r="E1" s="1" t="inlineStr">
        <is>
          <t>Severity</t>
        </is>
      </c>
      <c r="F1" s="1" t="inlineStr">
        <is>
          <t>Status</t>
        </is>
      </c>
      <c r="G1" s="1" t="inlineStr">
        <is>
          <t>MTTD (mins)</t>
        </is>
      </c>
      <c r="H1" s="1" t="inlineStr">
        <is>
          <t>MTTR (mins)</t>
        </is>
      </c>
    </row>
    <row r="2">
      <c r="A2" s="2" t="inlineStr">
        <is>
          <t>2024-01-15</t>
        </is>
      </c>
      <c r="B2" s="2" t="inlineStr">
        <is>
          <t>08:00</t>
        </is>
      </c>
      <c r="C2" s="2" t="inlineStr">
        <is>
          <t>08:03</t>
        </is>
      </c>
      <c r="D2" s="2" t="inlineStr">
        <is>
          <t>08:22</t>
        </is>
      </c>
      <c r="E2" s="2" t="inlineStr">
        <is>
          <t>High</t>
        </is>
      </c>
      <c r="F2" s="2" t="inlineStr">
        <is>
          <t>Closed</t>
        </is>
      </c>
      <c r="G2" s="2" t="n">
        <v>3</v>
      </c>
      <c r="H2" s="2" t="n">
        <v>19</v>
      </c>
    </row>
    <row r="3">
      <c r="A3" s="3" t="inlineStr">
        <is>
          <t>2024-01-15</t>
        </is>
      </c>
      <c r="B3" s="3" t="inlineStr">
        <is>
          <t>08:15</t>
        </is>
      </c>
      <c r="C3" s="3" t="inlineStr">
        <is>
          <t>08:17</t>
        </is>
      </c>
      <c r="D3" s="3" t="inlineStr">
        <is>
          <t>08:35</t>
        </is>
      </c>
      <c r="E3" s="3" t="inlineStr">
        <is>
          <t>Medium</t>
        </is>
      </c>
      <c r="F3" s="3" t="inlineStr">
        <is>
          <t>Closed</t>
        </is>
      </c>
      <c r="G3" s="3" t="n">
        <v>2</v>
      </c>
      <c r="H3" s="3" t="n">
        <v>18</v>
      </c>
    </row>
    <row r="4">
      <c r="A4" s="2" t="inlineStr">
        <is>
          <t>2024-01-15</t>
        </is>
      </c>
      <c r="B4" s="2" t="inlineStr">
        <is>
          <t>08:30</t>
        </is>
      </c>
      <c r="C4" s="2" t="inlineStr">
        <is>
          <t>08:32</t>
        </is>
      </c>
      <c r="D4" s="2" t="inlineStr">
        <is>
          <t>08:50</t>
        </is>
      </c>
      <c r="E4" s="2" t="inlineStr">
        <is>
          <t>Low</t>
        </is>
      </c>
      <c r="F4" s="2" t="inlineStr">
        <is>
          <t>Closed</t>
        </is>
      </c>
      <c r="G4" s="2" t="n">
        <v>2</v>
      </c>
      <c r="H4" s="2" t="n">
        <v>18</v>
      </c>
    </row>
    <row r="5">
      <c r="A5" s="3" t="inlineStr">
        <is>
          <t>2024-01-15</t>
        </is>
      </c>
      <c r="B5" s="3" t="inlineStr">
        <is>
          <t>09:00</t>
        </is>
      </c>
      <c r="C5" s="3" t="inlineStr">
        <is>
          <t>09:04</t>
        </is>
      </c>
      <c r="D5" s="3" t="inlineStr">
        <is>
          <t>09:30</t>
        </is>
      </c>
      <c r="E5" s="3" t="inlineStr">
        <is>
          <t>High</t>
        </is>
      </c>
      <c r="F5" s="3" t="inlineStr">
        <is>
          <t>Closed</t>
        </is>
      </c>
      <c r="G5" s="3" t="n">
        <v>4</v>
      </c>
      <c r="H5" s="3" t="n">
        <v>26</v>
      </c>
    </row>
    <row r="6">
      <c r="A6" s="2" t="inlineStr">
        <is>
          <t>2024-01-15</t>
        </is>
      </c>
      <c r="B6" s="2" t="inlineStr">
        <is>
          <t>09:20</t>
        </is>
      </c>
      <c r="C6" s="2" t="inlineStr">
        <is>
          <t>09:22</t>
        </is>
      </c>
      <c r="D6" s="2" t="inlineStr">
        <is>
          <t>09:45</t>
        </is>
      </c>
      <c r="E6" s="2" t="inlineStr">
        <is>
          <t>Medium</t>
        </is>
      </c>
      <c r="F6" s="2" t="inlineStr">
        <is>
          <t>Closed</t>
        </is>
      </c>
      <c r="G6" s="2" t="n">
        <v>2</v>
      </c>
      <c r="H6" s="2" t="n">
        <v>23</v>
      </c>
    </row>
    <row r="7">
      <c r="A7" s="3" t="inlineStr">
        <is>
          <t>2024-01-16</t>
        </is>
      </c>
      <c r="B7" s="3" t="inlineStr">
        <is>
          <t>09:45</t>
        </is>
      </c>
      <c r="C7" s="3" t="inlineStr">
        <is>
          <t>09:47</t>
        </is>
      </c>
      <c r="D7" s="3" t="inlineStr">
        <is>
          <t>10:10</t>
        </is>
      </c>
      <c r="E7" s="3" t="inlineStr">
        <is>
          <t>Low</t>
        </is>
      </c>
      <c r="F7" s="3" t="inlineStr">
        <is>
          <t>Closed</t>
        </is>
      </c>
      <c r="G7" s="3" t="n">
        <v>2</v>
      </c>
      <c r="H7" s="3" t="n">
        <v>23</v>
      </c>
    </row>
    <row r="8">
      <c r="A8" s="2" t="inlineStr">
        <is>
          <t>2024-01-16</t>
        </is>
      </c>
      <c r="B8" s="2" t="inlineStr">
        <is>
          <t>10:00</t>
        </is>
      </c>
      <c r="C8" s="2" t="inlineStr">
        <is>
          <t>10:03</t>
        </is>
      </c>
      <c r="D8" s="2" t="inlineStr">
        <is>
          <t>10:28</t>
        </is>
      </c>
      <c r="E8" s="2" t="inlineStr">
        <is>
          <t>High</t>
        </is>
      </c>
      <c r="F8" s="2" t="inlineStr">
        <is>
          <t>Closed</t>
        </is>
      </c>
      <c r="G8" s="2" t="n">
        <v>3</v>
      </c>
      <c r="H8" s="2" t="n">
        <v>25</v>
      </c>
    </row>
    <row r="9">
      <c r="A9" s="3" t="inlineStr">
        <is>
          <t>2024-01-16</t>
        </is>
      </c>
      <c r="B9" s="3" t="inlineStr">
        <is>
          <t>10:30</t>
        </is>
      </c>
      <c r="C9" s="3" t="inlineStr">
        <is>
          <t>10:32</t>
        </is>
      </c>
      <c r="D9" s="3" t="inlineStr">
        <is>
          <t>10:55</t>
        </is>
      </c>
      <c r="E9" s="3" t="inlineStr">
        <is>
          <t>Medium</t>
        </is>
      </c>
      <c r="F9" s="3" t="inlineStr">
        <is>
          <t>Closed</t>
        </is>
      </c>
      <c r="G9" s="3" t="n">
        <v>2</v>
      </c>
      <c r="H9" s="3" t="n">
        <v>23</v>
      </c>
    </row>
    <row r="10">
      <c r="A10" s="2" t="inlineStr">
        <is>
          <t>2024-01-16</t>
        </is>
      </c>
      <c r="B10" s="2" t="inlineStr">
        <is>
          <t>11:00</t>
        </is>
      </c>
      <c r="C10" s="2" t="inlineStr">
        <is>
          <t>11:05</t>
        </is>
      </c>
      <c r="D10" s="2" t="inlineStr">
        <is>
          <t>11:35</t>
        </is>
      </c>
      <c r="E10" s="2" t="inlineStr">
        <is>
          <t>High</t>
        </is>
      </c>
      <c r="F10" s="2" t="inlineStr">
        <is>
          <t>Closed</t>
        </is>
      </c>
      <c r="G10" s="2" t="n">
        <v>5</v>
      </c>
      <c r="H10" s="2" t="n">
        <v>30</v>
      </c>
    </row>
    <row r="11">
      <c r="A11" s="3" t="inlineStr">
        <is>
          <t>2024-01-16</t>
        </is>
      </c>
      <c r="B11" s="3" t="inlineStr">
        <is>
          <t>11:20</t>
        </is>
      </c>
      <c r="C11" s="3" t="inlineStr">
        <is>
          <t>11:22</t>
        </is>
      </c>
      <c r="D11" s="3" t="inlineStr">
        <is>
          <t>11:40</t>
        </is>
      </c>
      <c r="E11" s="3" t="inlineStr">
        <is>
          <t>Low</t>
        </is>
      </c>
      <c r="F11" s="3" t="inlineStr">
        <is>
          <t>Closed</t>
        </is>
      </c>
      <c r="G11" s="3" t="n">
        <v>2</v>
      </c>
      <c r="H11" s="3" t="n">
        <v>18</v>
      </c>
    </row>
    <row r="12">
      <c r="A12" s="2" t="inlineStr">
        <is>
          <t>2024-01-17</t>
        </is>
      </c>
      <c r="B12" s="2" t="inlineStr">
        <is>
          <t>12:00</t>
        </is>
      </c>
      <c r="C12" s="2" t="inlineStr">
        <is>
          <t>12:04</t>
        </is>
      </c>
      <c r="D12" s="2" t="inlineStr">
        <is>
          <t>12:30</t>
        </is>
      </c>
      <c r="E12" s="2" t="inlineStr">
        <is>
          <t>Medium</t>
        </is>
      </c>
      <c r="F12" s="2" t="inlineStr">
        <is>
          <t>Closed</t>
        </is>
      </c>
      <c r="G12" s="2" t="n">
        <v>4</v>
      </c>
      <c r="H12" s="2" t="n">
        <v>26</v>
      </c>
    </row>
    <row r="13">
      <c r="A13" s="3" t="inlineStr">
        <is>
          <t>2024-01-17</t>
        </is>
      </c>
      <c r="B13" s="3" t="inlineStr">
        <is>
          <t>12:45</t>
        </is>
      </c>
      <c r="C13" s="3" t="inlineStr">
        <is>
          <t>12:47</t>
        </is>
      </c>
      <c r="D13" s="3" t="inlineStr">
        <is>
          <t>13:15</t>
        </is>
      </c>
      <c r="E13" s="3" t="inlineStr">
        <is>
          <t>High</t>
        </is>
      </c>
      <c r="F13" s="3" t="inlineStr">
        <is>
          <t>Closed</t>
        </is>
      </c>
      <c r="G13" s="3" t="n">
        <v>2</v>
      </c>
      <c r="H13" s="3" t="n">
        <v>28</v>
      </c>
    </row>
    <row r="14">
      <c r="A14" s="2" t="inlineStr">
        <is>
          <t>2024-01-17</t>
        </is>
      </c>
      <c r="B14" s="2" t="inlineStr">
        <is>
          <t>13:00</t>
        </is>
      </c>
      <c r="C14" s="2" t="inlineStr">
        <is>
          <t>13:03</t>
        </is>
      </c>
      <c r="D14" s="2" t="inlineStr">
        <is>
          <t>13:20</t>
        </is>
      </c>
      <c r="E14" s="2" t="inlineStr">
        <is>
          <t>Low</t>
        </is>
      </c>
      <c r="F14" s="2" t="inlineStr">
        <is>
          <t>Closed</t>
        </is>
      </c>
      <c r="G14" s="2" t="n">
        <v>3</v>
      </c>
      <c r="H14" s="2" t="n">
        <v>17</v>
      </c>
    </row>
    <row r="15">
      <c r="A15" s="3" t="inlineStr">
        <is>
          <t>2024-01-17</t>
        </is>
      </c>
      <c r="B15" s="3" t="inlineStr">
        <is>
          <t>13:30</t>
        </is>
      </c>
      <c r="C15" s="3" t="inlineStr">
        <is>
          <t>13:33</t>
        </is>
      </c>
      <c r="D15" s="3" t="inlineStr">
        <is>
          <t>14:00</t>
        </is>
      </c>
      <c r="E15" s="3" t="inlineStr">
        <is>
          <t>Medium</t>
        </is>
      </c>
      <c r="F15" s="3" t="inlineStr">
        <is>
          <t>Closed</t>
        </is>
      </c>
      <c r="G15" s="3" t="n">
        <v>3</v>
      </c>
      <c r="H15" s="3" t="n">
        <v>27</v>
      </c>
    </row>
    <row r="16">
      <c r="A16" s="2" t="inlineStr">
        <is>
          <t>2024-01-17</t>
        </is>
      </c>
      <c r="B16" s="2" t="inlineStr">
        <is>
          <t>14:00</t>
        </is>
      </c>
      <c r="C16" s="2" t="inlineStr">
        <is>
          <t>14:05</t>
        </is>
      </c>
      <c r="D16" s="2" t="inlineStr">
        <is>
          <t>14:40</t>
        </is>
      </c>
      <c r="E16" s="2" t="inlineStr">
        <is>
          <t>High</t>
        </is>
      </c>
      <c r="F16" s="2" t="inlineStr">
        <is>
          <t>Closed</t>
        </is>
      </c>
      <c r="G16" s="2" t="n">
        <v>5</v>
      </c>
      <c r="H16" s="2" t="n">
        <v>35</v>
      </c>
    </row>
    <row r="17">
      <c r="A17" s="3" t="inlineStr">
        <is>
          <t>2024-01-18</t>
        </is>
      </c>
      <c r="B17" s="3" t="inlineStr">
        <is>
          <t>08:10</t>
        </is>
      </c>
      <c r="C17" s="3" t="inlineStr">
        <is>
          <t>08:14</t>
        </is>
      </c>
      <c r="D17" s="3" t="inlineStr">
        <is>
          <t>08:38</t>
        </is>
      </c>
      <c r="E17" s="3" t="inlineStr">
        <is>
          <t>High</t>
        </is>
      </c>
      <c r="F17" s="3" t="inlineStr">
        <is>
          <t>Closed</t>
        </is>
      </c>
      <c r="G17" s="3" t="n">
        <v>4</v>
      </c>
      <c r="H17" s="3" t="n">
        <v>24</v>
      </c>
    </row>
    <row r="18">
      <c r="A18" s="2" t="inlineStr">
        <is>
          <t>2024-01-18</t>
        </is>
      </c>
      <c r="B18" s="2" t="inlineStr">
        <is>
          <t>09:05</t>
        </is>
      </c>
      <c r="C18" s="2" t="inlineStr">
        <is>
          <t>09:07</t>
        </is>
      </c>
      <c r="D18" s="2" t="inlineStr">
        <is>
          <t>09:22</t>
        </is>
      </c>
      <c r="E18" s="2" t="inlineStr">
        <is>
          <t>Low</t>
        </is>
      </c>
      <c r="F18" s="2" t="inlineStr">
        <is>
          <t>Closed</t>
        </is>
      </c>
      <c r="G18" s="2" t="n">
        <v>2</v>
      </c>
      <c r="H18" s="2" t="n">
        <v>15</v>
      </c>
    </row>
    <row r="19">
      <c r="A19" s="3" t="inlineStr">
        <is>
          <t>2024-01-18</t>
        </is>
      </c>
      <c r="B19" s="3" t="inlineStr">
        <is>
          <t>10:15</t>
        </is>
      </c>
      <c r="C19" s="3" t="inlineStr">
        <is>
          <t>10:18</t>
        </is>
      </c>
      <c r="D19" s="3" t="inlineStr">
        <is>
          <t>10:45</t>
        </is>
      </c>
      <c r="E19" s="3" t="inlineStr">
        <is>
          <t>Medium</t>
        </is>
      </c>
      <c r="F19" s="3" t="inlineStr">
        <is>
          <t>Closed</t>
        </is>
      </c>
      <c r="G19" s="3" t="n">
        <v>3</v>
      </c>
      <c r="H19" s="3" t="n">
        <v>27</v>
      </c>
    </row>
    <row r="20">
      <c r="A20" s="2" t="inlineStr">
        <is>
          <t>2024-01-18</t>
        </is>
      </c>
      <c r="B20" s="2" t="inlineStr">
        <is>
          <t>11:30</t>
        </is>
      </c>
      <c r="C20" s="2" t="inlineStr">
        <is>
          <t>11:34</t>
        </is>
      </c>
      <c r="D20" s="2" t="inlineStr">
        <is>
          <t>12:05</t>
        </is>
      </c>
      <c r="E20" s="2" t="inlineStr">
        <is>
          <t>High</t>
        </is>
      </c>
      <c r="F20" s="2" t="inlineStr">
        <is>
          <t>Closed</t>
        </is>
      </c>
      <c r="G20" s="2" t="n">
        <v>4</v>
      </c>
      <c r="H20" s="2" t="n">
        <v>31</v>
      </c>
    </row>
    <row r="21">
      <c r="A21" s="3" t="inlineStr">
        <is>
          <t>2024-01-18</t>
        </is>
      </c>
      <c r="B21" s="3" t="inlineStr">
        <is>
          <t>13:00</t>
        </is>
      </c>
      <c r="C21" s="3" t="inlineStr">
        <is>
          <t>13:02</t>
        </is>
      </c>
      <c r="D21" s="3" t="inlineStr">
        <is>
          <t>13:18</t>
        </is>
      </c>
      <c r="E21" s="3" t="inlineStr">
        <is>
          <t>Low</t>
        </is>
      </c>
      <c r="F21" s="3" t="inlineStr">
        <is>
          <t>Closed</t>
        </is>
      </c>
      <c r="G21" s="3" t="n">
        <v>2</v>
      </c>
      <c r="H21" s="3" t="n">
        <v>16</v>
      </c>
    </row>
    <row r="22">
      <c r="A22" s="2" t="inlineStr">
        <is>
          <t>2024-01-19</t>
        </is>
      </c>
      <c r="B22" s="2" t="inlineStr">
        <is>
          <t>08:00</t>
        </is>
      </c>
      <c r="C22" s="2" t="inlineStr">
        <is>
          <t>08:04</t>
        </is>
      </c>
      <c r="D22" s="2" t="inlineStr">
        <is>
          <t>08:29</t>
        </is>
      </c>
      <c r="E22" s="2" t="inlineStr">
        <is>
          <t>Medium</t>
        </is>
      </c>
      <c r="F22" s="2" t="inlineStr">
        <is>
          <t>Closed</t>
        </is>
      </c>
      <c r="G22" s="2" t="n">
        <v>4</v>
      </c>
      <c r="H22" s="2" t="n">
        <v>25</v>
      </c>
    </row>
    <row r="23">
      <c r="A23" s="3" t="inlineStr">
        <is>
          <t>2024-01-19</t>
        </is>
      </c>
      <c r="B23" s="3" t="inlineStr">
        <is>
          <t>09:30</t>
        </is>
      </c>
      <c r="C23" s="3" t="inlineStr">
        <is>
          <t>09:33</t>
        </is>
      </c>
      <c r="D23" s="3" t="inlineStr">
        <is>
          <t>10:00</t>
        </is>
      </c>
      <c r="E23" s="3" t="inlineStr">
        <is>
          <t>High</t>
        </is>
      </c>
      <c r="F23" s="3" t="inlineStr">
        <is>
          <t>Closed</t>
        </is>
      </c>
      <c r="G23" s="3" t="n">
        <v>3</v>
      </c>
      <c r="H23" s="3" t="n">
        <v>27</v>
      </c>
    </row>
    <row r="24">
      <c r="A24" s="2" t="inlineStr">
        <is>
          <t>2024-01-19</t>
        </is>
      </c>
      <c r="B24" s="2" t="inlineStr">
        <is>
          <t>10:45</t>
        </is>
      </c>
      <c r="C24" s="2" t="inlineStr">
        <is>
          <t>10:47</t>
        </is>
      </c>
      <c r="D24" s="2" t="inlineStr">
        <is>
          <t>11:05</t>
        </is>
      </c>
      <c r="E24" s="2" t="inlineStr">
        <is>
          <t>Low</t>
        </is>
      </c>
      <c r="F24" s="2" t="inlineStr">
        <is>
          <t>Closed</t>
        </is>
      </c>
      <c r="G24" s="2" t="n">
        <v>2</v>
      </c>
      <c r="H24" s="2" t="n">
        <v>18</v>
      </c>
    </row>
    <row r="25">
      <c r="A25" s="3" t="inlineStr">
        <is>
          <t>2024-01-19</t>
        </is>
      </c>
      <c r="B25" s="3" t="inlineStr">
        <is>
          <t>12:00</t>
        </is>
      </c>
      <c r="C25" s="3" t="inlineStr">
        <is>
          <t>12:03</t>
        </is>
      </c>
      <c r="D25" s="3" t="inlineStr">
        <is>
          <t>12:30</t>
        </is>
      </c>
      <c r="E25" s="3" t="inlineStr">
        <is>
          <t>Medium</t>
        </is>
      </c>
      <c r="F25" s="3" t="inlineStr">
        <is>
          <t>Closed</t>
        </is>
      </c>
      <c r="G25" s="3" t="n">
        <v>3</v>
      </c>
      <c r="H25" s="3" t="n">
        <v>27</v>
      </c>
    </row>
    <row r="26">
      <c r="A26" s="2" t="inlineStr">
        <is>
          <t>2024-01-19</t>
        </is>
      </c>
      <c r="B26" s="2" t="inlineStr">
        <is>
          <t>14:00</t>
        </is>
      </c>
      <c r="C26" s="2" t="inlineStr">
        <is>
          <t>14:06</t>
        </is>
      </c>
      <c r="D26" s="2" t="inlineStr">
        <is>
          <t>14:45</t>
        </is>
      </c>
      <c r="E26" s="2" t="inlineStr">
        <is>
          <t>High</t>
        </is>
      </c>
      <c r="F26" s="2" t="inlineStr">
        <is>
          <t>Closed</t>
        </is>
      </c>
      <c r="G26" s="2" t="n">
        <v>6</v>
      </c>
      <c r="H26" s="2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 ht="28" customHeight="1">
      <c r="A1" s="4" t="inlineStr">
        <is>
          <t>SOC PERFORMANCE SUMMARY METRICS</t>
        </is>
      </c>
    </row>
    <row r="2">
      <c r="A2" s="5" t="inlineStr">
        <is>
          <t>Metric</t>
        </is>
      </c>
      <c r="B2" s="5" t="inlineStr">
        <is>
          <t>Value</t>
        </is>
      </c>
    </row>
    <row r="3">
      <c r="A3" s="6" t="inlineStr">
        <is>
          <t>Total Alerts Logged</t>
        </is>
      </c>
      <c r="B3" s="7">
        <f>COUNTA('SOC Raw Data'!A2:A26)</f>
        <v/>
      </c>
    </row>
    <row r="4">
      <c r="A4" s="6" t="inlineStr">
        <is>
          <t>Total Incidents Created</t>
        </is>
      </c>
      <c r="B4" s="7">
        <f>COUNTA('SOC Raw Data'!C2:C26)</f>
        <v/>
      </c>
    </row>
    <row r="5">
      <c r="A5" s="6" t="inlineStr">
        <is>
          <t>Total Incidents Closed</t>
        </is>
      </c>
      <c r="B5" s="7">
        <f>COUNTIF('SOC Raw Data'!F2:F26,"Closed")</f>
        <v/>
      </c>
    </row>
    <row r="6">
      <c r="A6" s="6" t="inlineStr">
        <is>
          <t>Average MTTD (mins)</t>
        </is>
      </c>
      <c r="B6" s="7">
        <f>AVERAGE('SOC Raw Data'!G2:G26)</f>
        <v/>
      </c>
    </row>
    <row r="7">
      <c r="A7" s="6" t="inlineStr">
        <is>
          <t>Average MTTR (mins)</t>
        </is>
      </c>
      <c r="B7" s="7">
        <f>AVERAGE('SOC Raw Data'!H2:H26)</f>
        <v/>
      </c>
    </row>
    <row r="8">
      <c r="A8" s="6" t="inlineStr">
        <is>
          <t>High Severity Incidents</t>
        </is>
      </c>
      <c r="B8" s="7">
        <f>COUNTIF('SOC Raw Data'!E2:E26,"High")</f>
        <v/>
      </c>
    </row>
    <row r="9">
      <c r="A9" s="6" t="inlineStr">
        <is>
          <t>Medium Severity Incidents</t>
        </is>
      </c>
      <c r="B9" s="7">
        <f>COUNTIF('SOC Raw Data'!E2:E26,"Medium")</f>
        <v/>
      </c>
    </row>
    <row r="10">
      <c r="A10" s="6" t="inlineStr">
        <is>
          <t>Low Severity Incidents</t>
        </is>
      </c>
      <c r="B10" s="7">
        <f>COUNTIF('SOC Raw Data'!E2:E26,"Low")</f>
        <v/>
      </c>
    </row>
    <row r="11">
      <c r="A11" s="6" t="inlineStr">
        <is>
          <t>Resolution Rate (%)</t>
        </is>
      </c>
      <c r="B11" s="7">
        <f>COUNTIF('SOC Raw Data'!F2:F26,"Closed")/COUNTA('SOC Raw Data'!F2:F26)*100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Severity</t>
        </is>
      </c>
      <c r="B1" s="8" t="inlineStr">
        <is>
          <t>Count</t>
        </is>
      </c>
      <c r="D1" s="8" t="inlineStr">
        <is>
          <t>Date</t>
        </is>
      </c>
      <c r="E1" s="8" t="inlineStr">
        <is>
          <t>Alerts</t>
        </is>
      </c>
      <c r="G1" s="8" t="inlineStr">
        <is>
          <t>Date</t>
        </is>
      </c>
      <c r="H1" s="8" t="inlineStr">
        <is>
          <t>Avg MTTR</t>
        </is>
      </c>
    </row>
    <row r="2">
      <c r="A2" t="inlineStr">
        <is>
          <t>High</t>
        </is>
      </c>
      <c r="B2">
        <f>COUNTIF('SOC Raw Data'!E2:E26,"High")</f>
        <v/>
      </c>
      <c r="D2" t="inlineStr">
        <is>
          <t>2024-01-15</t>
        </is>
      </c>
      <c r="E2" t="n">
        <v>5</v>
      </c>
      <c r="G2" t="inlineStr">
        <is>
          <t>2024-01-15</t>
        </is>
      </c>
      <c r="H2" t="n">
        <v>18</v>
      </c>
    </row>
    <row r="3">
      <c r="A3" t="inlineStr">
        <is>
          <t>Medium</t>
        </is>
      </c>
      <c r="B3">
        <f>COUNTIF('SOC Raw Data'!E2:E26,"Medium")</f>
        <v/>
      </c>
      <c r="D3" t="inlineStr">
        <is>
          <t>2024-01-16</t>
        </is>
      </c>
      <c r="E3" t="n">
        <v>5</v>
      </c>
      <c r="G3" t="inlineStr">
        <is>
          <t>2024-01-16</t>
        </is>
      </c>
      <c r="H3" t="n">
        <v>21</v>
      </c>
    </row>
    <row r="4">
      <c r="A4" t="inlineStr">
        <is>
          <t>Low</t>
        </is>
      </c>
      <c r="B4">
        <f>COUNTIF('SOC Raw Data'!E2:E26,"Low")</f>
        <v/>
      </c>
      <c r="D4" t="inlineStr">
        <is>
          <t>2024-01-17</t>
        </is>
      </c>
      <c r="E4" t="n">
        <v>5</v>
      </c>
      <c r="G4" t="inlineStr">
        <is>
          <t>2024-01-17</t>
        </is>
      </c>
      <c r="H4" t="n">
        <v>25</v>
      </c>
    </row>
    <row r="5">
      <c r="D5" t="inlineStr">
        <is>
          <t>2024-01-18</t>
        </is>
      </c>
      <c r="E5" t="n">
        <v>5</v>
      </c>
      <c r="G5" t="inlineStr">
        <is>
          <t>2024-01-18</t>
        </is>
      </c>
      <c r="H5" t="n">
        <v>22</v>
      </c>
    </row>
    <row r="6">
      <c r="D6" t="inlineStr">
        <is>
          <t>2024-01-19</t>
        </is>
      </c>
      <c r="E6" t="n">
        <v>5</v>
      </c>
      <c r="G6" t="inlineStr">
        <is>
          <t>2024-01-19</t>
        </is>
      </c>
      <c r="H6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2026-03-26T13:39:05Z</dcterms:created>
  <dcterms:modified xmlns:dcterms="http://purl.org/dc/terms/" xmlns:xsi="http://www.w3.org/2001/XMLSchema-instance" xsi:type="dcterms:W3CDTF">2026-03-26T13:39:05Z</dcterms:modified>
</cp:coreProperties>
</file>